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omoshibiRepository\MovingDisplay3-Circuit\"/>
    </mc:Choice>
  </mc:AlternateContent>
  <xr:revisionPtr revIDLastSave="0" documentId="13_ncr:1_{78439F4B-F80C-4301-A18B-F6B93424D2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3" i="1"/>
  <c r="H4" i="1"/>
  <c r="H8" i="1"/>
  <c r="H9" i="1"/>
  <c r="H10" i="1"/>
  <c r="H11" i="1"/>
  <c r="H12" i="1"/>
  <c r="H13" i="1"/>
  <c r="H14" i="1"/>
  <c r="H2" i="1"/>
  <c r="H15" i="1" l="1"/>
</calcChain>
</file>

<file path=xl/sharedStrings.xml><?xml version="1.0" encoding="utf-8"?>
<sst xmlns="http://schemas.openxmlformats.org/spreadsheetml/2006/main" count="59" uniqueCount="55">
  <si>
    <t>種類</t>
    <rPh sb="0" eb="2">
      <t>シュルイ</t>
    </rPh>
    <phoneticPr fontId="4"/>
  </si>
  <si>
    <t>備考</t>
    <rPh sb="0" eb="2">
      <t>ビコウ</t>
    </rPh>
    <phoneticPr fontId="4"/>
  </si>
  <si>
    <t>URL</t>
    <phoneticPr fontId="4"/>
  </si>
  <si>
    <t>25V</t>
    <phoneticPr fontId="4"/>
  </si>
  <si>
    <t>電解コン</t>
    <rPh sb="0" eb="2">
      <t>デンカイ</t>
    </rPh>
    <phoneticPr fontId="4"/>
  </si>
  <si>
    <t>100uF</t>
    <phoneticPr fontId="4"/>
  </si>
  <si>
    <t>PchFET</t>
    <phoneticPr fontId="4"/>
  </si>
  <si>
    <t>中電流用</t>
    <rPh sb="0" eb="4">
      <t>チュウデンリュウヨウ</t>
    </rPh>
    <phoneticPr fontId="4"/>
  </si>
  <si>
    <t>中耐圧</t>
    <rPh sb="0" eb="3">
      <t>チュウタイアツ</t>
    </rPh>
    <phoneticPr fontId="4"/>
  </si>
  <si>
    <t>三端子</t>
    <rPh sb="0" eb="3">
      <t>サンタンシ</t>
    </rPh>
    <phoneticPr fontId="4"/>
  </si>
  <si>
    <t>1枚当たりの個数</t>
    <rPh sb="1" eb="2">
      <t>マイ</t>
    </rPh>
    <rPh sb="2" eb="3">
      <t>ア</t>
    </rPh>
    <rPh sb="6" eb="8">
      <t>コスウ</t>
    </rPh>
    <phoneticPr fontId="4"/>
  </si>
  <si>
    <t>SSM6J808RR</t>
    <phoneticPr fontId="4"/>
  </si>
  <si>
    <t>スイッチ</t>
    <phoneticPr fontId="3"/>
  </si>
  <si>
    <t>スライド</t>
    <phoneticPr fontId="3"/>
  </si>
  <si>
    <t>単価</t>
    <rPh sb="0" eb="2">
      <t>タンカ</t>
    </rPh>
    <phoneticPr fontId="3"/>
  </si>
  <si>
    <t>SPDT / THT / 中 / 縦 / 白</t>
    <rPh sb="13" eb="14">
      <t>チュウ</t>
    </rPh>
    <rPh sb="17" eb="18">
      <t>タテ</t>
    </rPh>
    <rPh sb="21" eb="22">
      <t>シロ</t>
    </rPh>
    <phoneticPr fontId="3"/>
  </si>
  <si>
    <t>https://akizukidenshi.com/catalog/g/g115367/</t>
    <phoneticPr fontId="3"/>
  </si>
  <si>
    <t>IS-1235-G</t>
  </si>
  <si>
    <t>https://akizukidenshi.com/catalog/g/g115504/</t>
    <phoneticPr fontId="3"/>
  </si>
  <si>
    <t>https://akizukidenshi.com/catalog/g/g117877/</t>
    <phoneticPr fontId="3"/>
  </si>
  <si>
    <t>大電流用</t>
    <rPh sb="0" eb="4">
      <t>ダイデンリュウヨウ</t>
    </rPh>
    <phoneticPr fontId="4"/>
  </si>
  <si>
    <t>MTP4835I3</t>
    <phoneticPr fontId="4"/>
  </si>
  <si>
    <t>https://akizukidenshi.com/catalog/g/g116096/</t>
    <phoneticPr fontId="4"/>
  </si>
  <si>
    <t>高分子コン</t>
    <rPh sb="0" eb="3">
      <t>コウブンシ</t>
    </rPh>
    <phoneticPr fontId="3"/>
  </si>
  <si>
    <t>6.3V</t>
    <phoneticPr fontId="3"/>
  </si>
  <si>
    <t>オペアンプ</t>
    <phoneticPr fontId="3"/>
  </si>
  <si>
    <t>NchFET</t>
    <phoneticPr fontId="4"/>
  </si>
  <si>
    <t>中電流用</t>
    <rPh sb="0" eb="1">
      <t>ナカ</t>
    </rPh>
    <rPh sb="1" eb="3">
      <t>デンリュウ</t>
    </rPh>
    <rPh sb="3" eb="4">
      <t>ヨウ</t>
    </rPh>
    <phoneticPr fontId="4"/>
  </si>
  <si>
    <t>12V</t>
    <phoneticPr fontId="4"/>
  </si>
  <si>
    <t>NJM78L12S</t>
    <phoneticPr fontId="3"/>
  </si>
  <si>
    <t>TPH11006NL</t>
  </si>
  <si>
    <t>330uF</t>
    <phoneticPr fontId="3"/>
  </si>
  <si>
    <t>NJU77701</t>
  </si>
  <si>
    <t>M51957B</t>
  </si>
  <si>
    <t>リセットIC</t>
    <phoneticPr fontId="3"/>
  </si>
  <si>
    <t>積セラ</t>
    <rPh sb="0" eb="1">
      <t>セキ</t>
    </rPh>
    <phoneticPr fontId="3"/>
  </si>
  <si>
    <t>1500pF</t>
    <phoneticPr fontId="3"/>
  </si>
  <si>
    <t>DCDC IC</t>
    <phoneticPr fontId="3"/>
  </si>
  <si>
    <t>ゲトドラ</t>
    <phoneticPr fontId="3"/>
  </si>
  <si>
    <t>LM3843</t>
    <phoneticPr fontId="3"/>
  </si>
  <si>
    <t>RT9624A</t>
    <phoneticPr fontId="3"/>
  </si>
  <si>
    <t>https://akizukidenshi.com/catalog/g/g117295/</t>
  </si>
  <si>
    <t>https://akizukidenshi.com/catalog/g/g107361/</t>
  </si>
  <si>
    <t>https://akizukidenshi.com/catalog/g/g115555/</t>
    <phoneticPr fontId="3"/>
  </si>
  <si>
    <t>https://akizukidenshi.com/catalog/g/g129592/</t>
    <phoneticPr fontId="3"/>
  </si>
  <si>
    <t>https://akizukidenshi.com/catalog/g/g102284/</t>
    <phoneticPr fontId="3"/>
  </si>
  <si>
    <t>購入数</t>
    <rPh sb="0" eb="3">
      <t>コウニュウスウ</t>
    </rPh>
    <phoneticPr fontId="3"/>
  </si>
  <si>
    <t>小計</t>
    <rPh sb="0" eb="2">
      <t>ショウケイ</t>
    </rPh>
    <phoneticPr fontId="3"/>
  </si>
  <si>
    <t>https://akizukidenshi.com/catalog/g/g109288/</t>
    <phoneticPr fontId="3"/>
  </si>
  <si>
    <t>https://akizukidenshi.com/catalog/g/g107103/</t>
    <phoneticPr fontId="3"/>
  </si>
  <si>
    <t>https://akizukidenshi.com/catalog/g/g111322/</t>
    <phoneticPr fontId="3"/>
  </si>
  <si>
    <t>合計</t>
    <rPh sb="0" eb="2">
      <t>ゴウケイ</t>
    </rPh>
    <phoneticPr fontId="3"/>
  </si>
  <si>
    <t>フェライトビーズ</t>
    <phoneticPr fontId="3"/>
  </si>
  <si>
    <t>1800Ω</t>
    <phoneticPr fontId="3"/>
  </si>
  <si>
    <t>https://akizukidenshi.com/catalog/g/g110765/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</si>
</sst>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1" applyFill="1" applyBorder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1" xfId="1" applyFill="1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09288/" TargetMode="External"/><Relationship Id="rId3" Type="http://schemas.openxmlformats.org/officeDocument/2006/relationships/hyperlink" Target="https://akizukidenshi.com/catalog/g/g117877/" TargetMode="External"/><Relationship Id="rId7" Type="http://schemas.openxmlformats.org/officeDocument/2006/relationships/hyperlink" Target="https://akizukidenshi.com/catalog/g/g102284/" TargetMode="External"/><Relationship Id="rId2" Type="http://schemas.openxmlformats.org/officeDocument/2006/relationships/hyperlink" Target="https://akizukidenshi.com/catalog/g/g115504/" TargetMode="External"/><Relationship Id="rId1" Type="http://schemas.openxmlformats.org/officeDocument/2006/relationships/hyperlink" Target="https://akizukidenshi.com/catalog/g/g115367/" TargetMode="External"/><Relationship Id="rId6" Type="http://schemas.openxmlformats.org/officeDocument/2006/relationships/hyperlink" Target="https://akizukidenshi.com/catalog/g/g129592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kizukidenshi.com/catalog/g/g115555/" TargetMode="External"/><Relationship Id="rId10" Type="http://schemas.openxmlformats.org/officeDocument/2006/relationships/hyperlink" Target="https://akizukidenshi.com/catalog/g/g111322/" TargetMode="External"/><Relationship Id="rId4" Type="http://schemas.openxmlformats.org/officeDocument/2006/relationships/hyperlink" Target="https://akizukidenshi.com/catalog/g/g116096/" TargetMode="External"/><Relationship Id="rId9" Type="http://schemas.openxmlformats.org/officeDocument/2006/relationships/hyperlink" Target="https://akizukidenshi.com/catalog/g/g1071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1" zoomScaleNormal="55" workbookViewId="0">
      <selection activeCell="G10" sqref="G10"/>
    </sheetView>
  </sheetViews>
  <sheetFormatPr defaultRowHeight="17.649999999999999"/>
  <cols>
    <col min="1" max="2" width="17.8125" style="2" customWidth="1"/>
    <col min="3" max="3" width="26.75" style="2" customWidth="1"/>
    <col min="4" max="4" width="17.8125" style="4" customWidth="1"/>
    <col min="5" max="6" width="17.8125" style="2" customWidth="1"/>
    <col min="7" max="7" width="17.8125" style="4" customWidth="1"/>
    <col min="8" max="8" width="17.8125" style="2" customWidth="1"/>
    <col min="9" max="9" width="10.875" style="13" customWidth="1"/>
    <col min="10" max="16384" width="9" style="2"/>
  </cols>
  <sheetData>
    <row r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10</v>
      </c>
      <c r="F1" s="1" t="s">
        <v>46</v>
      </c>
      <c r="G1" s="1" t="s">
        <v>14</v>
      </c>
      <c r="H1" s="1" t="s">
        <v>47</v>
      </c>
      <c r="I1" s="11" t="s">
        <v>2</v>
      </c>
    </row>
    <row r="2" spans="1:12">
      <c r="A2" s="1" t="s">
        <v>4</v>
      </c>
      <c r="B2" s="1" t="s">
        <v>5</v>
      </c>
      <c r="C2" s="1" t="s">
        <v>3</v>
      </c>
      <c r="D2" s="1"/>
      <c r="E2" s="1">
        <v>2</v>
      </c>
      <c r="F2" s="1">
        <v>10</v>
      </c>
      <c r="G2" s="1">
        <v>10</v>
      </c>
      <c r="H2" s="1">
        <f>F2*G2</f>
        <v>100</v>
      </c>
      <c r="I2" s="10" t="s">
        <v>19</v>
      </c>
    </row>
    <row r="3" spans="1:12">
      <c r="A3" s="1" t="s">
        <v>35</v>
      </c>
      <c r="B3" s="1" t="s">
        <v>36</v>
      </c>
      <c r="C3" s="1"/>
      <c r="D3" s="1"/>
      <c r="E3" s="1">
        <v>1</v>
      </c>
      <c r="F3" s="1">
        <v>1</v>
      </c>
      <c r="G3" s="1">
        <v>300</v>
      </c>
      <c r="H3" s="1">
        <f t="shared" ref="H3:H14" si="0">F3*G3</f>
        <v>300</v>
      </c>
      <c r="I3" s="10" t="s">
        <v>48</v>
      </c>
    </row>
    <row r="4" spans="1:12">
      <c r="A4" s="1" t="s">
        <v>23</v>
      </c>
      <c r="B4" s="1" t="s">
        <v>31</v>
      </c>
      <c r="C4" s="1" t="s">
        <v>24</v>
      </c>
      <c r="D4" s="1"/>
      <c r="E4" s="1">
        <v>1</v>
      </c>
      <c r="F4" s="1">
        <v>5</v>
      </c>
      <c r="G4" s="1">
        <v>160</v>
      </c>
      <c r="H4" s="1">
        <f t="shared" si="0"/>
        <v>800</v>
      </c>
      <c r="I4" s="10" t="s">
        <v>41</v>
      </c>
    </row>
    <row r="5" spans="1:12">
      <c r="A5" s="1" t="s">
        <v>52</v>
      </c>
      <c r="B5" s="1" t="s">
        <v>53</v>
      </c>
      <c r="C5" s="1"/>
      <c r="D5" s="1"/>
      <c r="E5" s="4">
        <v>1</v>
      </c>
      <c r="F5" s="1">
        <v>1</v>
      </c>
      <c r="G5" s="1">
        <v>150</v>
      </c>
      <c r="H5" s="1">
        <f t="shared" si="0"/>
        <v>150</v>
      </c>
      <c r="I5" s="10" t="s">
        <v>54</v>
      </c>
    </row>
    <row r="6" spans="1:12">
      <c r="A6" s="1" t="s">
        <v>6</v>
      </c>
      <c r="B6" s="1" t="s">
        <v>7</v>
      </c>
      <c r="C6" s="1" t="s">
        <v>8</v>
      </c>
      <c r="D6" s="1" t="s">
        <v>11</v>
      </c>
      <c r="E6" s="1">
        <v>2</v>
      </c>
      <c r="F6" s="1">
        <v>2</v>
      </c>
      <c r="G6" s="1">
        <v>100</v>
      </c>
      <c r="H6" s="1">
        <f t="shared" si="0"/>
        <v>200</v>
      </c>
      <c r="I6" s="10" t="s">
        <v>18</v>
      </c>
    </row>
    <row r="7" spans="1:12" s="6" customFormat="1">
      <c r="A7" s="5" t="s">
        <v>6</v>
      </c>
      <c r="B7" s="5" t="s">
        <v>20</v>
      </c>
      <c r="C7" s="5"/>
      <c r="D7" s="5" t="s">
        <v>21</v>
      </c>
      <c r="E7" s="5">
        <v>1</v>
      </c>
      <c r="F7" s="5">
        <v>5</v>
      </c>
      <c r="G7" s="5">
        <v>30</v>
      </c>
      <c r="H7" s="1">
        <f t="shared" si="0"/>
        <v>150</v>
      </c>
      <c r="I7" s="12" t="s">
        <v>22</v>
      </c>
    </row>
    <row r="8" spans="1:12">
      <c r="A8" s="1" t="s">
        <v>26</v>
      </c>
      <c r="B8" s="1" t="s">
        <v>27</v>
      </c>
      <c r="C8" s="1" t="s">
        <v>8</v>
      </c>
      <c r="D8" s="1" t="s">
        <v>30</v>
      </c>
      <c r="E8" s="1">
        <v>2</v>
      </c>
      <c r="F8" s="1">
        <v>2</v>
      </c>
      <c r="G8" s="9">
        <v>200</v>
      </c>
      <c r="H8" s="1">
        <f t="shared" si="0"/>
        <v>400</v>
      </c>
      <c r="I8" s="10" t="s">
        <v>42</v>
      </c>
    </row>
    <row r="9" spans="1:12">
      <c r="A9" s="1" t="s">
        <v>12</v>
      </c>
      <c r="B9" s="1" t="s">
        <v>13</v>
      </c>
      <c r="C9" s="1" t="s">
        <v>15</v>
      </c>
      <c r="D9" s="9" t="s">
        <v>17</v>
      </c>
      <c r="E9" s="1">
        <v>1</v>
      </c>
      <c r="F9" s="1">
        <v>5</v>
      </c>
      <c r="G9" s="1">
        <v>25</v>
      </c>
      <c r="H9" s="1">
        <f t="shared" si="0"/>
        <v>125</v>
      </c>
      <c r="I9" s="10" t="s">
        <v>16</v>
      </c>
    </row>
    <row r="10" spans="1:12">
      <c r="A10" s="1" t="s">
        <v>9</v>
      </c>
      <c r="B10" s="1" t="s">
        <v>28</v>
      </c>
      <c r="C10" s="9"/>
      <c r="D10" s="1" t="s">
        <v>29</v>
      </c>
      <c r="E10" s="1">
        <v>1</v>
      </c>
      <c r="F10" s="1">
        <v>5</v>
      </c>
      <c r="G10" s="1">
        <v>30</v>
      </c>
      <c r="H10" s="1">
        <f t="shared" si="0"/>
        <v>150</v>
      </c>
      <c r="I10" s="10" t="s">
        <v>50</v>
      </c>
    </row>
    <row r="11" spans="1:12" s="3" customFormat="1">
      <c r="A11" s="1" t="s">
        <v>25</v>
      </c>
      <c r="B11" s="1"/>
      <c r="C11" s="1"/>
      <c r="D11" s="1" t="s">
        <v>32</v>
      </c>
      <c r="E11" s="1">
        <v>1</v>
      </c>
      <c r="F11" s="1">
        <v>1</v>
      </c>
      <c r="G11" s="1">
        <v>300</v>
      </c>
      <c r="H11" s="1">
        <f t="shared" si="0"/>
        <v>300</v>
      </c>
      <c r="I11" s="10" t="s">
        <v>49</v>
      </c>
      <c r="K11" s="7"/>
      <c r="L11" s="8"/>
    </row>
    <row r="12" spans="1:12">
      <c r="A12" s="9" t="s">
        <v>34</v>
      </c>
      <c r="B12" s="9"/>
      <c r="C12" s="9"/>
      <c r="D12" s="9" t="s">
        <v>33</v>
      </c>
      <c r="E12" s="9">
        <v>1</v>
      </c>
      <c r="F12" s="9">
        <v>1</v>
      </c>
      <c r="G12" s="9">
        <v>200</v>
      </c>
      <c r="H12" s="1">
        <f t="shared" si="0"/>
        <v>200</v>
      </c>
      <c r="I12" s="14" t="s">
        <v>45</v>
      </c>
    </row>
    <row r="13" spans="1:12">
      <c r="A13" s="9" t="s">
        <v>37</v>
      </c>
      <c r="B13" s="9"/>
      <c r="C13" s="9"/>
      <c r="D13" s="9" t="s">
        <v>39</v>
      </c>
      <c r="E13" s="9">
        <v>1</v>
      </c>
      <c r="F13" s="9">
        <v>5</v>
      </c>
      <c r="G13" s="9">
        <v>40</v>
      </c>
      <c r="H13" s="1">
        <f t="shared" si="0"/>
        <v>200</v>
      </c>
      <c r="I13" s="14" t="s">
        <v>43</v>
      </c>
    </row>
    <row r="14" spans="1:12">
      <c r="A14" s="9" t="s">
        <v>38</v>
      </c>
      <c r="B14" s="9"/>
      <c r="C14" s="9"/>
      <c r="D14" s="9" t="s">
        <v>40</v>
      </c>
      <c r="E14" s="9">
        <v>1</v>
      </c>
      <c r="F14" s="9">
        <v>5</v>
      </c>
      <c r="G14" s="9">
        <v>60</v>
      </c>
      <c r="H14" s="1">
        <f t="shared" si="0"/>
        <v>300</v>
      </c>
      <c r="I14" s="14" t="s">
        <v>44</v>
      </c>
    </row>
    <row r="15" spans="1:12">
      <c r="G15" s="4" t="s">
        <v>51</v>
      </c>
      <c r="H15" s="2">
        <f>SUM(H2:H14)</f>
        <v>3375</v>
      </c>
    </row>
  </sheetData>
  <phoneticPr fontId="3"/>
  <hyperlinks>
    <hyperlink ref="I9" r:id="rId1" xr:uid="{6C2A42F1-0D73-4FAC-8C56-52DD29501CB3}"/>
    <hyperlink ref="I6" r:id="rId2" xr:uid="{E96D894D-DE7B-4F5A-9BB2-CA218B8E8903}"/>
    <hyperlink ref="I2" r:id="rId3" xr:uid="{B5C67E23-BAD3-42C5-AA16-3576B223675C}"/>
    <hyperlink ref="I7" r:id="rId4" xr:uid="{7F51AB99-1FA7-462F-AB59-2CDFC99FF201}"/>
    <hyperlink ref="I13" r:id="rId5" xr:uid="{1C92EF00-A1DF-487C-8B05-EFA63A33A020}"/>
    <hyperlink ref="I14" r:id="rId6" xr:uid="{57B745AF-1F1B-4FF2-ADA3-F46A3767F5D9}"/>
    <hyperlink ref="I12" r:id="rId7" xr:uid="{F160B595-77DF-4BC3-8101-C9A26DBB5BB5}"/>
    <hyperlink ref="I3" r:id="rId8" xr:uid="{D4B1E1CB-0E37-49B5-A060-D6BEA631FDEC}"/>
    <hyperlink ref="I11" r:id="rId9" xr:uid="{A921FE41-A629-47CD-9E10-8E3CE62A74EE}"/>
    <hyperlink ref="I10" r:id="rId10" xr:uid="{EAE23C49-3F41-4983-8A27-7A28F5D37DC5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RyukiTsuji</dc:creator>
  <cp:lastModifiedBy>triplex.ryuki@keio.jp</cp:lastModifiedBy>
  <dcterms:created xsi:type="dcterms:W3CDTF">2015-06-05T18:19:34Z</dcterms:created>
  <dcterms:modified xsi:type="dcterms:W3CDTF">2025-09-12T08:35:13Z</dcterms:modified>
</cp:coreProperties>
</file>